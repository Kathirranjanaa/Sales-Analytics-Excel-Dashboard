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F079008-F0FB-4B35-9330-32CD8C6E055B}" xr6:coauthVersionLast="47" xr6:coauthVersionMax="47" xr10:uidLastSave="{00000000-0000-0000-0000-000000000000}"/>
  <bookViews>
    <workbookView xWindow="-120" yWindow="480" windowWidth="29040" windowHeight="15840" xr2:uid="{810B916D-8AC5-B94F-AAD8-02E834047D22}"/>
  </bookViews>
  <sheets>
    <sheet name="Inputs" sheetId="3" r:id="rId1"/>
    <sheet name="Contact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<sst xmlns="http://schemas.openxmlformats.org/spreadsheetml/2006/main" count="74" uniqueCount="55">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</sst>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&quot;£&quot;* #,##0.00_-;\-&quot;£&quot;* #,##0.00_-;_-&quot;£&quot;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2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3AC5B88A-BE67-B246-918E-5880F50DD26A}"/>
    <cellStyle name="Normal" xfId="0" builtinId="0"/>
    <cellStyle name="Normal 2" xfId="5" xr:uid="{0A62EF63-F03A-A344-A3E0-402ED5BC751C}"/>
    <cellStyle name="Percent" xfId="2" builtinId="5"/>
  </cellStyles>
  <dxfs count="0"/>
  <tableStyles count="0" defaultTableStyle="TableStyleMedium2" defaultPivotStyle="PivotStyleLight16"/>
  <colors>
    <mruColors>
      <color rgb="FFEFCB19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%20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9.pn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openxmlformats.org/officeDocument/2006/relationships/hyperlink" Target="mailto:%20info@support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5" name="Graphic 4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DEEC0-F340-42EB-8E07-605490084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94965"/>
          <a:ext cx="463975" cy="45804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6" name="Graphic 5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E626AA4-C93F-4FB3-82CC-8317140A3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66230"/>
          <a:ext cx="469232" cy="45936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4EEF523-6569-4CB2-922E-75ADE2011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43149"/>
          <a:ext cx="469232" cy="45508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C9616FE3-A2DA-4B89-A2E1-AE7053AB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7191"/>
          <a:ext cx="64407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14</xdr:row>
      <xdr:rowOff>190500</xdr:rowOff>
    </xdr:from>
    <xdr:to>
      <xdr:col>0</xdr:col>
      <xdr:colOff>574224</xdr:colOff>
      <xdr:row>16</xdr:row>
      <xdr:rowOff>170364</xdr:rowOff>
    </xdr:to>
    <xdr:pic>
      <xdr:nvPicPr>
        <xdr:cNvPr id="3" name="Graphic 2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1BAA00C-C88E-45A9-9FE0-CDEAA526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198120" y="2964180"/>
          <a:ext cx="376104" cy="3761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185492</xdr:colOff>
      <xdr:row>8</xdr:row>
      <xdr:rowOff>133339</xdr:rowOff>
    </xdr:from>
    <xdr:to>
      <xdr:col>0</xdr:col>
      <xdr:colOff>607287</xdr:colOff>
      <xdr:row>10</xdr:row>
      <xdr:rowOff>153507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7DE92D-D74D-4A6B-B035-37D1255E1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5492" y="1718299"/>
          <a:ext cx="421795" cy="4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185731</xdr:colOff>
      <xdr:row>5</xdr:row>
      <xdr:rowOff>96510</xdr:rowOff>
    </xdr:from>
    <xdr:to>
      <xdr:col>0</xdr:col>
      <xdr:colOff>612306</xdr:colOff>
      <xdr:row>7</xdr:row>
      <xdr:rowOff>117873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47D741-03FB-4F1B-9E1D-89E866442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731" y="1087110"/>
          <a:ext cx="426575" cy="417603"/>
        </a:xfrm>
        <a:prstGeom prst="rect">
          <a:avLst/>
        </a:prstGeom>
      </xdr:spPr>
    </xdr:pic>
    <xdr:clientData/>
  </xdr:twoCellAnchor>
  <xdr:twoCellAnchor editAs="oneCell">
    <xdr:from>
      <xdr:col>0</xdr:col>
      <xdr:colOff>185731</xdr:colOff>
      <xdr:row>11</xdr:row>
      <xdr:rowOff>168779</xdr:rowOff>
    </xdr:from>
    <xdr:to>
      <xdr:col>0</xdr:col>
      <xdr:colOff>612306</xdr:colOff>
      <xdr:row>13</xdr:row>
      <xdr:rowOff>186253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1B60C6-D108-4CE0-B783-0E1D4E22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85731" y="2348099"/>
          <a:ext cx="426575" cy="413714"/>
        </a:xfrm>
        <a:prstGeom prst="rect">
          <a:avLst/>
        </a:prstGeom>
      </xdr:spPr>
    </xdr:pic>
    <xdr:clientData/>
  </xdr:twoCellAnchor>
  <xdr:twoCellAnchor editAs="oneCell">
    <xdr:from>
      <xdr:col>0</xdr:col>
      <xdr:colOff>84547</xdr:colOff>
      <xdr:row>1</xdr:row>
      <xdr:rowOff>9071</xdr:rowOff>
    </xdr:from>
    <xdr:to>
      <xdr:col>0</xdr:col>
      <xdr:colOff>754380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8E564537-7A43-4845-B50D-0FCB70C88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84547" y="207191"/>
          <a:ext cx="669833" cy="625119"/>
        </a:xfrm>
        <a:prstGeom prst="rect">
          <a:avLst/>
        </a:prstGeom>
      </xdr:spPr>
    </xdr:pic>
    <xdr:clientData/>
  </xdr:twoCellAnchor>
  <xdr:twoCellAnchor editAs="oneCell">
    <xdr:from>
      <xdr:col>0</xdr:col>
      <xdr:colOff>183207</xdr:colOff>
      <xdr:row>15</xdr:row>
      <xdr:rowOff>1390</xdr:rowOff>
    </xdr:from>
    <xdr:to>
      <xdr:col>0</xdr:col>
      <xdr:colOff>559311</xdr:colOff>
      <xdr:row>16</xdr:row>
      <xdr:rowOff>179374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1E5E1A1-24F5-4008-8497-EC1CB06B2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183207" y="297319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sheetPr codeName="Sheet3"/>
  <dimension ref="A2:K24"/>
  <sheetViews>
    <sheetView showGridLines="0" tabSelected="1" zoomScaleNormal="100" workbookViewId="0">
      <selection activeCell="I34" sqref="I34"/>
    </sheetView>
  </sheetViews>
  <sheetFormatPr defaultColWidth="11.125" defaultRowHeight="15.75" x14ac:dyDescent="0.25"/>
  <cols>
    <col min="1" max="1" width="10.875" style="1"/>
    <col min="2" max="2" width="4" customWidth="1"/>
    <col min="3" max="3" width="14.125" customWidth="1"/>
    <col min="4" max="4" width="8.625" customWidth="1"/>
    <col min="5" max="5" width="10.125" customWidth="1"/>
    <col min="7" max="7" width="12.375" customWidth="1"/>
  </cols>
  <sheetData>
    <row r="2" spans="3:11" x14ac:dyDescent="0.25">
      <c r="C2" s="10" t="s">
        <v>53</v>
      </c>
      <c r="D2" s="10"/>
      <c r="E2" s="10"/>
      <c r="F2" s="10"/>
      <c r="G2" s="10"/>
      <c r="H2" s="10"/>
      <c r="I2" s="10"/>
      <c r="J2" s="10"/>
    </row>
    <row r="4" spans="3:11" x14ac:dyDescent="0.25">
      <c r="C4" s="4" t="s">
        <v>50</v>
      </c>
      <c r="D4" s="4" t="s">
        <v>46</v>
      </c>
      <c r="F4" s="4" t="s">
        <v>49</v>
      </c>
      <c r="G4" s="4" t="s">
        <v>46</v>
      </c>
      <c r="I4" s="4" t="s">
        <v>24</v>
      </c>
      <c r="J4" s="4" t="s">
        <v>46</v>
      </c>
    </row>
    <row r="5" spans="3:11" x14ac:dyDescent="0.25">
      <c r="C5" t="s">
        <v>47</v>
      </c>
      <c r="D5" s="11">
        <v>2543.9</v>
      </c>
      <c r="F5" t="s">
        <v>47</v>
      </c>
      <c r="G5" s="12">
        <v>890.36500000000001</v>
      </c>
      <c r="I5" t="s">
        <v>47</v>
      </c>
      <c r="J5" s="8">
        <v>87</v>
      </c>
    </row>
    <row r="6" spans="3:11" x14ac:dyDescent="0.25">
      <c r="C6" t="s">
        <v>48</v>
      </c>
      <c r="D6" s="11">
        <v>3000</v>
      </c>
      <c r="F6" t="s">
        <v>48</v>
      </c>
      <c r="G6" s="12">
        <v>1000</v>
      </c>
      <c r="I6" t="s">
        <v>48</v>
      </c>
      <c r="J6" s="8">
        <v>100</v>
      </c>
    </row>
    <row r="7" spans="3:11" x14ac:dyDescent="0.25">
      <c r="C7" t="s">
        <v>51</v>
      </c>
      <c r="D7" s="9">
        <f>D5/D6</f>
        <v>0.84796666666666665</v>
      </c>
      <c r="F7" t="s">
        <v>51</v>
      </c>
      <c r="G7" s="9">
        <f>G5/G6</f>
        <v>0.89036499999999996</v>
      </c>
      <c r="I7" t="s">
        <v>51</v>
      </c>
      <c r="J7" s="9">
        <f>J5/J6</f>
        <v>0.87</v>
      </c>
    </row>
    <row r="8" spans="3:11" x14ac:dyDescent="0.25">
      <c r="C8" t="s">
        <v>52</v>
      </c>
      <c r="D8" s="9">
        <f>100%-D7</f>
        <v>0.15203333333333335</v>
      </c>
      <c r="F8" t="s">
        <v>52</v>
      </c>
      <c r="G8" s="9">
        <f>100%-G7</f>
        <v>0.10963500000000004</v>
      </c>
      <c r="I8" t="s">
        <v>52</v>
      </c>
      <c r="J8" s="9">
        <f>100%-J7</f>
        <v>0.13</v>
      </c>
    </row>
    <row r="10" spans="3:11" x14ac:dyDescent="0.25">
      <c r="C10" s="10" t="s">
        <v>54</v>
      </c>
      <c r="D10" s="10"/>
      <c r="E10" s="10"/>
      <c r="F10" s="10"/>
      <c r="G10" s="10"/>
      <c r="H10" s="10"/>
      <c r="J10" s="10" t="s">
        <v>20</v>
      </c>
      <c r="K10" s="10"/>
    </row>
    <row r="12" spans="3:11" x14ac:dyDescent="0.25">
      <c r="C12" s="3" t="s">
        <v>8</v>
      </c>
      <c r="D12" s="3">
        <v>2021</v>
      </c>
      <c r="E12" s="3">
        <v>2022</v>
      </c>
      <c r="G12" s="3" t="s">
        <v>21</v>
      </c>
      <c r="H12" s="3" t="s">
        <v>8</v>
      </c>
      <c r="J12" s="4" t="s">
        <v>20</v>
      </c>
      <c r="K12" s="4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5">
        <v>953.3</v>
      </c>
      <c r="J13" t="s">
        <v>29</v>
      </c>
      <c r="K13" s="6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5">
        <v>432.4</v>
      </c>
      <c r="J14" t="s">
        <v>28</v>
      </c>
      <c r="K14" s="6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5">
        <v>553.20000000000005</v>
      </c>
      <c r="J15" t="s">
        <v>27</v>
      </c>
      <c r="K15" s="6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5">
        <v>445.1</v>
      </c>
      <c r="J16" t="s">
        <v>26</v>
      </c>
      <c r="K16" s="6">
        <v>0.53</v>
      </c>
    </row>
    <row r="17" spans="3:11" x14ac:dyDescent="0.25">
      <c r="C17" t="s">
        <v>7</v>
      </c>
      <c r="D17">
        <v>206.4</v>
      </c>
      <c r="E17">
        <v>204.3</v>
      </c>
      <c r="G17" t="s">
        <v>6</v>
      </c>
      <c r="H17" s="5">
        <v>425.1</v>
      </c>
      <c r="J17" t="s">
        <v>25</v>
      </c>
      <c r="K17" s="6">
        <v>0.95</v>
      </c>
    </row>
    <row r="18" spans="3:11" x14ac:dyDescent="0.25">
      <c r="C18" t="s">
        <v>13</v>
      </c>
      <c r="D18">
        <v>195.3</v>
      </c>
      <c r="E18">
        <v>203</v>
      </c>
      <c r="G18" t="s">
        <v>3</v>
      </c>
      <c r="H18" s="5">
        <v>253.6</v>
      </c>
    </row>
    <row r="19" spans="3:11" x14ac:dyDescent="0.25">
      <c r="C19" t="s">
        <v>14</v>
      </c>
      <c r="D19">
        <v>192.4</v>
      </c>
      <c r="E19">
        <v>201.5</v>
      </c>
      <c r="G19" t="s">
        <v>2</v>
      </c>
      <c r="H19" s="5">
        <v>387.5</v>
      </c>
    </row>
    <row r="20" spans="3:11" x14ac:dyDescent="0.25">
      <c r="C20" t="s">
        <v>15</v>
      </c>
      <c r="D20">
        <v>186.3</v>
      </c>
      <c r="E20">
        <v>200.6</v>
      </c>
    </row>
    <row r="21" spans="3:11" x14ac:dyDescent="0.25">
      <c r="C21" t="s">
        <v>16</v>
      </c>
      <c r="D21">
        <v>194.2</v>
      </c>
      <c r="E21">
        <v>210.6</v>
      </c>
    </row>
    <row r="22" spans="3:11" x14ac:dyDescent="0.25">
      <c r="C22" t="s">
        <v>17</v>
      </c>
      <c r="D22">
        <v>199</v>
      </c>
      <c r="E22">
        <v>216.4</v>
      </c>
    </row>
    <row r="23" spans="3:11" x14ac:dyDescent="0.25">
      <c r="C23" t="s">
        <v>18</v>
      </c>
      <c r="D23">
        <v>205.2</v>
      </c>
      <c r="E23">
        <v>222.3</v>
      </c>
    </row>
    <row r="24" spans="3:11" x14ac:dyDescent="0.2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sheetPr codeName="Sheet4"/>
  <dimension ref="A2:E9"/>
  <sheetViews>
    <sheetView showGridLines="0" zoomScaleNormal="100" workbookViewId="0">
      <selection activeCell="E18" sqref="E18"/>
    </sheetView>
  </sheetViews>
  <sheetFormatPr defaultColWidth="8.875" defaultRowHeight="15.75" x14ac:dyDescent="0.25"/>
  <cols>
    <col min="1" max="1" width="10.875" style="1" customWidth="1"/>
    <col min="2" max="2" width="4.375" customWidth="1"/>
    <col min="4" max="4" width="16.625" customWidth="1"/>
    <col min="5" max="5" width="25" bestFit="1" customWidth="1"/>
  </cols>
  <sheetData>
    <row r="2" spans="1:5" s="2" customFormat="1" x14ac:dyDescent="0.25">
      <c r="A2" s="1"/>
      <c r="C2" s="4" t="s">
        <v>0</v>
      </c>
      <c r="D2" s="4" t="s">
        <v>30</v>
      </c>
      <c r="E2" s="4" t="s">
        <v>31</v>
      </c>
    </row>
    <row r="3" spans="1:5" x14ac:dyDescent="0.25">
      <c r="C3" t="s">
        <v>1</v>
      </c>
      <c r="D3" t="s">
        <v>32</v>
      </c>
      <c r="E3" s="7" t="s">
        <v>39</v>
      </c>
    </row>
    <row r="4" spans="1:5" x14ac:dyDescent="0.25">
      <c r="C4" t="s">
        <v>4</v>
      </c>
      <c r="D4" t="s">
        <v>33</v>
      </c>
      <c r="E4" s="7" t="s">
        <v>40</v>
      </c>
    </row>
    <row r="5" spans="1:5" x14ac:dyDescent="0.25">
      <c r="C5" t="s">
        <v>22</v>
      </c>
      <c r="D5" t="s">
        <v>34</v>
      </c>
      <c r="E5" s="7" t="s">
        <v>41</v>
      </c>
    </row>
    <row r="6" spans="1:5" x14ac:dyDescent="0.25">
      <c r="C6" t="s">
        <v>5</v>
      </c>
      <c r="D6" t="s">
        <v>35</v>
      </c>
      <c r="E6" s="7" t="s">
        <v>42</v>
      </c>
    </row>
    <row r="7" spans="1:5" x14ac:dyDescent="0.25">
      <c r="C7" t="s">
        <v>6</v>
      </c>
      <c r="D7" t="s">
        <v>36</v>
      </c>
      <c r="E7" s="7" t="s">
        <v>43</v>
      </c>
    </row>
    <row r="8" spans="1:5" x14ac:dyDescent="0.25">
      <c r="C8" t="s">
        <v>3</v>
      </c>
      <c r="D8" t="s">
        <v>37</v>
      </c>
      <c r="E8" s="7" t="s">
        <v>44</v>
      </c>
    </row>
    <row r="9" spans="1:5" x14ac:dyDescent="0.25">
      <c r="C9" t="s">
        <v>2</v>
      </c>
      <c r="D9" t="s">
        <v>38</v>
      </c>
      <c r="E9" s="7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harish chandrasekaran</cp:lastModifiedBy>
  <dcterms:created xsi:type="dcterms:W3CDTF">2023-01-30T08:37:14Z</dcterms:created>
  <dcterms:modified xsi:type="dcterms:W3CDTF">2025-02-17T10:50:37Z</dcterms:modified>
</cp:coreProperties>
</file>